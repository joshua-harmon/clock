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ycle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<sst xmlns="http://schemas.openxmlformats.org/spreadsheetml/2006/main" count="34" uniqueCount="32">
  <si>
    <t xml:space="preserve">135 Jupiter–Saturn conjunctions against years, Venus and eclipse seasons</t>
  </si>
  <si>
    <t xml:space="preserve">Blue cells are inputs (yellow = the user's working values); everything else is a formula.</t>
  </si>
  <si>
    <t xml:space="preserve">Inputs</t>
  </si>
  <si>
    <t xml:space="preserve">Jupiter–Saturn conjunction (days)</t>
  </si>
  <si>
    <t xml:space="preserve">User working value (from Jupiter 4,332.5315 d and Saturn 10,758.833 d)</t>
  </si>
  <si>
    <t xml:space="preserve">Tropical year (days)</t>
  </si>
  <si>
    <t xml:space="preserve">User working value</t>
  </si>
  <si>
    <t xml:space="preserve">Venus synodic period, working (days)</t>
  </si>
  <si>
    <t xml:space="preserve">User working value: 243 × 365.2422 / 152</t>
  </si>
  <si>
    <t xml:space="preserve">Venus synodic period, measured (days)</t>
  </si>
  <si>
    <t xml:space="preserve">Modern mean synodic period</t>
  </si>
  <si>
    <t xml:space="preserve">Eclipse season (days)</t>
  </si>
  <si>
    <t xml:space="preserve">Half the eclipse year 346.620076 d (mean, J2000)</t>
  </si>
  <si>
    <t xml:space="preserve">Conjunctions in the base span</t>
  </si>
  <si>
    <t xml:space="preserve">User</t>
  </si>
  <si>
    <t xml:space="preserve">Multiplier</t>
  </si>
  <si>
    <t xml:space="preserve">Base span: 1,130 eclipse seasons against 27 conjunctions</t>
  </si>
  <si>
    <t xml:space="preserve">Conjunctions × N (days)</t>
  </si>
  <si>
    <t xml:space="preserve">Eclipse seasons in that span</t>
  </si>
  <si>
    <t xml:space="preserve">Nearest whole number of seasons</t>
  </si>
  <si>
    <t xml:space="preserve">Off by (days)</t>
  </si>
  <si>
    <t xml:space="preserve">Multiplied span</t>
  </si>
  <si>
    <t xml:space="preserve">Conjunctions × N × multiplier (days)</t>
  </si>
  <si>
    <t xml:space="preserve">Cycle</t>
  </si>
  <si>
    <t xml:space="preserve">Length (days)</t>
  </si>
  <si>
    <t xml:space="preserve">How many fit</t>
  </si>
  <si>
    <t xml:space="preserve">Nearest whole number</t>
  </si>
  <si>
    <t xml:space="preserve">Tropical year</t>
  </si>
  <si>
    <t xml:space="preserve">Venus synodic (working 583.9069)</t>
  </si>
  <si>
    <t xml:space="preserve">Venus synodic (measured 583.9214)</t>
  </si>
  <si>
    <t xml:space="preserve">Eclipse season</t>
  </si>
  <si>
    <t xml:space="preserve">Off-by values of 4–8 days fall within the codex corrections (steps of 4, 6 or 8 days) discussed in the workshop log.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</si>
</sst>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.000"/>
    <numFmt numFmtId="166" formatCode="#,##0"/>
    <numFmt numFmtId="167" formatCode="0.000000"/>
    <numFmt numFmtId="168" formatCode="0.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11"/>
      <color rgb="FF555555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555555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DDDDD"/>
        <bgColor rgb="FFCC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6"/>
    <col collapsed="false" customWidth="true" hidden="false" outlineLevel="0" max="3" min="3" style="0" width="62"/>
    <col collapsed="false" customWidth="true" hidden="false" outlineLevel="0" max="4" min="4" style="0" width="20"/>
    <col collapsed="false" customWidth="true" hidden="false" outlineLevel="0" max="5" min="5" style="0" width="14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5" t="n">
        <v>7253.4697</v>
      </c>
      <c r="C5" s="6" t="s">
        <v>4</v>
      </c>
    </row>
    <row r="6" customFormat="false" ht="15" hidden="false" customHeight="false" outlineLevel="0" collapsed="false">
      <c r="A6" s="4" t="s">
        <v>5</v>
      </c>
      <c r="B6" s="5" t="n">
        <v>365.2422</v>
      </c>
      <c r="C6" s="6" t="s">
        <v>6</v>
      </c>
    </row>
    <row r="7" customFormat="false" ht="15" hidden="false" customHeight="false" outlineLevel="0" collapsed="false">
      <c r="A7" s="4" t="s">
        <v>7</v>
      </c>
      <c r="B7" s="5" t="n">
        <v>583.9069</v>
      </c>
      <c r="C7" s="6" t="s">
        <v>8</v>
      </c>
    </row>
    <row r="8" customFormat="false" ht="15" hidden="false" customHeight="false" outlineLevel="0" collapsed="false">
      <c r="A8" s="4" t="s">
        <v>9</v>
      </c>
      <c r="B8" s="7" t="n">
        <v>583.9214</v>
      </c>
      <c r="C8" s="6" t="s">
        <v>10</v>
      </c>
    </row>
    <row r="9" customFormat="false" ht="15" hidden="false" customHeight="false" outlineLevel="0" collapsed="false">
      <c r="A9" s="4" t="s">
        <v>11</v>
      </c>
      <c r="B9" s="7" t="n">
        <v>173.310038</v>
      </c>
      <c r="C9" s="6" t="s">
        <v>12</v>
      </c>
    </row>
    <row r="10" customFormat="false" ht="15" hidden="false" customHeight="false" outlineLevel="0" collapsed="false">
      <c r="A10" s="4" t="s">
        <v>13</v>
      </c>
      <c r="B10" s="5" t="n">
        <v>27</v>
      </c>
      <c r="C10" s="6" t="s">
        <v>14</v>
      </c>
    </row>
    <row r="11" customFormat="false" ht="15" hidden="false" customHeight="false" outlineLevel="0" collapsed="false">
      <c r="A11" s="4" t="s">
        <v>15</v>
      </c>
      <c r="B11" s="5" t="n">
        <v>5</v>
      </c>
      <c r="C11" s="6" t="s">
        <v>14</v>
      </c>
    </row>
    <row r="13" customFormat="false" ht="15" hidden="false" customHeight="false" outlineLevel="0" collapsed="false">
      <c r="A13" s="3" t="s">
        <v>16</v>
      </c>
    </row>
    <row r="14" customFormat="false" ht="15" hidden="false" customHeight="false" outlineLevel="0" collapsed="false">
      <c r="A14" s="4" t="s">
        <v>17</v>
      </c>
      <c r="B14" s="8" t="n">
        <f aca="false">$B$10*$B$5</f>
        <v>195843.6819</v>
      </c>
      <c r="C14" s="4"/>
      <c r="D14" s="4"/>
      <c r="E14" s="4"/>
    </row>
    <row r="15" customFormat="false" ht="15" hidden="false" customHeight="false" outlineLevel="0" collapsed="false">
      <c r="A15" s="4" t="s">
        <v>18</v>
      </c>
      <c r="B15" s="8" t="n">
        <f aca="false">B14/$B$9</f>
        <v>1130.01926582002</v>
      </c>
      <c r="C15" s="4"/>
      <c r="D15" s="4"/>
      <c r="E15" s="4"/>
    </row>
    <row r="16" customFormat="false" ht="15" hidden="false" customHeight="false" outlineLevel="0" collapsed="false">
      <c r="A16" s="4" t="s">
        <v>19</v>
      </c>
      <c r="B16" s="9" t="n">
        <f aca="false">ROUND(B15,0)</f>
        <v>1130</v>
      </c>
      <c r="C16" s="4"/>
      <c r="D16" s="4"/>
      <c r="E16" s="4"/>
    </row>
    <row r="17" customFormat="false" ht="15" hidden="false" customHeight="false" outlineLevel="0" collapsed="false">
      <c r="A17" s="4" t="s">
        <v>20</v>
      </c>
      <c r="B17" s="8" t="n">
        <f aca="false">B14-B16*$B$9</f>
        <v>3.33895999999368</v>
      </c>
      <c r="C17" s="4"/>
      <c r="D17" s="4"/>
      <c r="E17" s="4"/>
    </row>
    <row r="18" customFormat="false" ht="15" hidden="false" customHeight="false" outlineLevel="0" collapsed="false">
      <c r="A18" s="4"/>
      <c r="B18" s="4"/>
      <c r="C18" s="4"/>
      <c r="D18" s="4"/>
      <c r="E18" s="4"/>
    </row>
    <row r="19" customFormat="false" ht="15" hidden="false" customHeight="false" outlineLevel="0" collapsed="false">
      <c r="A19" s="3" t="s">
        <v>21</v>
      </c>
    </row>
    <row r="20" customFormat="false" ht="15" hidden="false" customHeight="false" outlineLevel="0" collapsed="false">
      <c r="A20" s="4" t="s">
        <v>22</v>
      </c>
      <c r="B20" s="8" t="n">
        <f aca="false">B14*$B$11</f>
        <v>979218.4095</v>
      </c>
      <c r="C20" s="4"/>
      <c r="D20" s="4"/>
      <c r="E20" s="4"/>
    </row>
    <row r="21" customFormat="false" ht="15" hidden="false" customHeight="false" outlineLevel="0" collapsed="false">
      <c r="A21" s="4"/>
      <c r="B21" s="4"/>
      <c r="C21" s="4"/>
      <c r="D21" s="4"/>
      <c r="E21" s="4"/>
    </row>
    <row r="22" customFormat="false" ht="15" hidden="false" customHeight="false" outlineLevel="0" collapsed="false">
      <c r="A22" s="10" t="s">
        <v>23</v>
      </c>
      <c r="B22" s="10" t="s">
        <v>24</v>
      </c>
      <c r="C22" s="10" t="s">
        <v>25</v>
      </c>
      <c r="D22" s="10" t="s">
        <v>26</v>
      </c>
      <c r="E22" s="10" t="s">
        <v>20</v>
      </c>
    </row>
    <row r="23" customFormat="false" ht="15" hidden="false" customHeight="false" outlineLevel="0" collapsed="false">
      <c r="A23" s="4" t="s">
        <v>27</v>
      </c>
      <c r="B23" s="11" t="n">
        <f aca="false">$B$6</f>
        <v>365.2422</v>
      </c>
      <c r="C23" s="8" t="n">
        <f aca="false">$B$20/B23</f>
        <v>2681.01114684995</v>
      </c>
      <c r="D23" s="9" t="n">
        <f aca="false">ROUND(C23,0)</f>
        <v>2681</v>
      </c>
      <c r="E23" s="12" t="n">
        <f aca="false">$B$20-D23*B23</f>
        <v>4.0712999998359</v>
      </c>
    </row>
    <row r="24" customFormat="false" ht="15" hidden="false" customHeight="false" outlineLevel="0" collapsed="false">
      <c r="A24" s="4" t="s">
        <v>28</v>
      </c>
      <c r="B24" s="11" t="n">
        <f aca="false">$B$7</f>
        <v>583.9069</v>
      </c>
      <c r="C24" s="8" t="n">
        <f aca="false">$B$20/B24</f>
        <v>1677.011197333</v>
      </c>
      <c r="D24" s="9" t="n">
        <f aca="false">ROUND(C24,0)</f>
        <v>1677</v>
      </c>
      <c r="E24" s="12" t="n">
        <f aca="false">$B$20-D24*B24</f>
        <v>6.53820000006817</v>
      </c>
    </row>
    <row r="25" customFormat="false" ht="15" hidden="false" customHeight="false" outlineLevel="0" collapsed="false">
      <c r="A25" s="4" t="s">
        <v>29</v>
      </c>
      <c r="B25" s="11" t="n">
        <f aca="false">$B$8</f>
        <v>583.9214</v>
      </c>
      <c r="C25" s="8" t="n">
        <f aca="false">$B$20/B25</f>
        <v>1676.96955360773</v>
      </c>
      <c r="D25" s="9" t="n">
        <f aca="false">ROUND(C25,0)</f>
        <v>1677</v>
      </c>
      <c r="E25" s="12" t="n">
        <f aca="false">$B$20-D25*B25</f>
        <v>-17.7783000000054</v>
      </c>
    </row>
    <row r="26" customFormat="false" ht="15" hidden="false" customHeight="false" outlineLevel="0" collapsed="false">
      <c r="A26" s="4" t="s">
        <v>30</v>
      </c>
      <c r="B26" s="11" t="n">
        <f aca="false">$B$9</f>
        <v>173.310038</v>
      </c>
      <c r="C26" s="8" t="n">
        <f aca="false">$B$20/B26</f>
        <v>5650.09632910011</v>
      </c>
      <c r="D26" s="9" t="n">
        <f aca="false">ROUND(C26,0)</f>
        <v>5650</v>
      </c>
      <c r="E26" s="12" t="n">
        <f aca="false">$B$20-D26*B26</f>
        <v>16.6948000000557</v>
      </c>
    </row>
    <row r="27" customFormat="false" ht="15" hidden="false" customHeight="false" outlineLevel="0" collapsed="false">
      <c r="A27" s="4"/>
      <c r="B27" s="4"/>
      <c r="C27" s="4"/>
      <c r="D27" s="4"/>
      <c r="E27" s="4"/>
    </row>
    <row r="28" customFormat="false" ht="15" hidden="false" customHeight="false" outlineLevel="0" collapsed="false">
      <c r="A28" s="2" t="s">
        <v>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2026-10-16T14:11:20Z</dcterms:created>
  <dc:creator>openpyxl</dc:creator>
  <dc:description/>
  <dc:language>en-US</dc:language>
  <cp:lastModifiedBy/>
  <dcterms:modified xsi:type="dcterms:W3CDTF">2026-10-16T14:11:20Z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